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<sst xmlns="http://schemas.openxmlformats.org/spreadsheetml/2006/main" count="21" uniqueCount="18">
  <si>
    <t xml:space="preserve">максимальный показатель</t>
  </si>
  <si>
    <t xml:space="preserve">сумма</t>
  </si>
  <si>
    <t xml:space="preserve">сумма для 2</t>
  </si>
  <si>
    <t xml:space="preserve">сумма для 3</t>
  </si>
  <si>
    <t xml:space="preserve">статистическая функция</t>
  </si>
  <si>
    <t xml:space="preserve">для A(лист 3)</t>
  </si>
  <si>
    <t xml:space="preserve">для B(лист3)</t>
  </si>
  <si>
    <t xml:space="preserve">для C(лист3)</t>
  </si>
  <si>
    <t xml:space="preserve">среднее значение</t>
  </si>
  <si>
    <t xml:space="preserve">максимальное значение</t>
  </si>
  <si>
    <t xml:space="preserve">минимальное значение</t>
  </si>
  <si>
    <t xml:space="preserve">медиана</t>
  </si>
  <si>
    <t xml:space="preserve">мода</t>
  </si>
  <si>
    <t xml:space="preserve">дисперсия</t>
  </si>
  <si>
    <t xml:space="preserve">кооледж 1</t>
  </si>
  <si>
    <t xml:space="preserve">кооледж 2</t>
  </si>
  <si>
    <t xml:space="preserve">кооледж 3</t>
  </si>
  <si>
    <t xml:space="preserve">коледж 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</si>
</sst>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кооледж 1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кооледж 2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323217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кооледж 3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3653654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коледж 4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699179"/>
        <c:axId val="24186526"/>
      </c:lineChart>
      <c:catAx>
        <c:axId val="406991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24186526"/>
        <c:crosses val="autoZero"/>
        <c:auto val="1"/>
        <c:lblAlgn val="ctr"/>
        <c:lblOffset val="100"/>
        <c:noMultiLvlLbl val="0"/>
      </c:catAx>
      <c:valAx>
        <c:axId val="24186526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406991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317520</xdr:colOff>
      <xdr:row>4</xdr:row>
      <xdr:rowOff>180720</xdr:rowOff>
    </xdr:from>
    <xdr:to>
      <xdr:col>14</xdr:col>
      <xdr:colOff>18720</xdr:colOff>
      <xdr:row>22</xdr:row>
      <xdr:rowOff>180360</xdr:rowOff>
    </xdr:to>
    <xdr:graphicFrame>
      <xdr:nvGraphicFramePr>
        <xdr:cNvPr id="0" name="Chart 1"/>
        <xdr:cNvGraphicFramePr/>
      </xdr:nvGraphicFramePr>
      <xdr:xfrm>
        <a:off x="6896160" y="942840"/>
        <a:ext cx="4635000" cy="342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5.14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0</v>
      </c>
      <c r="B2" s="1" t="n">
        <f aca="false">2^A2</f>
        <v>1</v>
      </c>
    </row>
    <row r="3" customFormat="false" ht="15" hidden="false" customHeight="false" outlineLevel="0" collapsed="false">
      <c r="A3" s="1" t="n">
        <v>1</v>
      </c>
      <c r="B3" s="1" t="n">
        <f aca="false">2^A3</f>
        <v>2</v>
      </c>
    </row>
    <row r="4" customFormat="false" ht="15" hidden="false" customHeight="false" outlineLevel="0" collapsed="false">
      <c r="A4" s="1" t="n">
        <v>2</v>
      </c>
      <c r="B4" s="1" t="n">
        <f aca="false">2^A4</f>
        <v>4</v>
      </c>
    </row>
    <row r="5" customFormat="false" ht="15" hidden="false" customHeight="false" outlineLevel="0" collapsed="false">
      <c r="A5" s="1" t="n">
        <v>3</v>
      </c>
      <c r="B5" s="1" t="n">
        <f aca="false">2^A5</f>
        <v>8</v>
      </c>
    </row>
    <row r="6" customFormat="false" ht="15" hidden="false" customHeight="false" outlineLevel="0" collapsed="false">
      <c r="A6" s="1" t="n">
        <v>4</v>
      </c>
      <c r="B6" s="1" t="n">
        <f aca="false">2^A6</f>
        <v>16</v>
      </c>
    </row>
    <row r="7" customFormat="false" ht="15" hidden="false" customHeight="false" outlineLevel="0" collapsed="false">
      <c r="A7" s="1" t="n">
        <v>5</v>
      </c>
      <c r="B7" s="1" t="n">
        <f aca="false">2^A7</f>
        <v>32</v>
      </c>
    </row>
    <row r="8" customFormat="false" ht="15" hidden="false" customHeight="false" outlineLevel="0" collapsed="false">
      <c r="A8" s="1" t="n">
        <v>6</v>
      </c>
      <c r="B8" s="1" t="n">
        <f aca="false">2^A8</f>
        <v>64</v>
      </c>
    </row>
    <row r="9" customFormat="false" ht="15" hidden="false" customHeight="false" outlineLevel="0" collapsed="false">
      <c r="A9" s="1" t="n">
        <v>7</v>
      </c>
      <c r="B9" s="1" t="n">
        <f aca="false">2^A9</f>
        <v>128</v>
      </c>
    </row>
    <row r="10" customFormat="false" ht="15" hidden="false" customHeight="false" outlineLevel="0" collapsed="false">
      <c r="A10" s="1" t="n">
        <v>8</v>
      </c>
      <c r="B10" s="1" t="n">
        <f aca="false">2^A10</f>
        <v>256</v>
      </c>
    </row>
    <row r="11" customFormat="false" ht="15" hidden="false" customHeight="false" outlineLevel="0" collapsed="false">
      <c r="A11" s="1" t="n">
        <v>9</v>
      </c>
      <c r="B11" s="1" t="n">
        <f aca="false">2^A11</f>
        <v>512</v>
      </c>
    </row>
    <row r="12" customFormat="false" ht="15" hidden="false" customHeight="false" outlineLevel="0" collapsed="false">
      <c r="A12" s="1" t="n">
        <v>10</v>
      </c>
      <c r="B12" s="1" t="n">
        <f aca="false">2^A12</f>
        <v>1024</v>
      </c>
    </row>
    <row r="13" customFormat="false" ht="15" hidden="false" customHeight="false" outlineLevel="0" collapsed="false">
      <c r="A13" s="1" t="n">
        <v>11</v>
      </c>
      <c r="B13" s="1" t="n">
        <f aca="false">2^13</f>
        <v>8192</v>
      </c>
    </row>
    <row r="14" customFormat="false" ht="15" hidden="false" customHeight="false" outlineLevel="0" collapsed="false">
      <c r="A14" s="1" t="n">
        <v>12</v>
      </c>
      <c r="B14" s="1" t="n">
        <f aca="false">2^A14</f>
        <v>4096</v>
      </c>
    </row>
    <row r="15" customFormat="false" ht="15" hidden="false" customHeight="false" outlineLevel="0" collapsed="false">
      <c r="A15" s="1" t="n">
        <v>13</v>
      </c>
      <c r="B15" s="1" t="n">
        <f aca="false">2^A15</f>
        <v>8192</v>
      </c>
    </row>
    <row r="16" customFormat="false" ht="15" hidden="false" customHeight="false" outlineLevel="0" collapsed="false">
      <c r="A16" s="1" t="n">
        <v>14</v>
      </c>
      <c r="B16" s="1" t="n">
        <f aca="false">2^A16</f>
        <v>16384</v>
      </c>
    </row>
    <row r="17" customFormat="false" ht="15" hidden="false" customHeight="false" outlineLevel="0" collapsed="false">
      <c r="A17" s="1" t="n">
        <v>15</v>
      </c>
      <c r="B17" s="1" t="n">
        <f aca="false">2^A17</f>
        <v>32768</v>
      </c>
    </row>
    <row r="18" customFormat="false" ht="15" hidden="false" customHeight="false" outlineLevel="0" collapsed="false">
      <c r="A18" s="1" t="n">
        <v>16</v>
      </c>
      <c r="B18" s="1" t="n">
        <f aca="false">2^A18</f>
        <v>65536</v>
      </c>
    </row>
    <row r="19" customFormat="false" ht="15" hidden="false" customHeight="false" outlineLevel="0" collapsed="false">
      <c r="A19" s="1" t="n">
        <v>17</v>
      </c>
      <c r="B19" s="1" t="n">
        <f aca="false">2^A19</f>
        <v>131072</v>
      </c>
    </row>
    <row r="20" customFormat="false" ht="15" hidden="false" customHeight="false" outlineLevel="0" collapsed="false">
      <c r="A20" s="1" t="n">
        <v>18</v>
      </c>
      <c r="B20" s="1" t="n">
        <f aca="false">2^A20</f>
        <v>262144</v>
      </c>
    </row>
    <row r="21" customFormat="false" ht="15" hidden="false" customHeight="false" outlineLevel="0" collapsed="false">
      <c r="A21" s="1" t="n">
        <v>19</v>
      </c>
      <c r="B21" s="1" t="n">
        <f aca="false">2^A21</f>
        <v>524288</v>
      </c>
    </row>
    <row r="22" customFormat="false" ht="15" hidden="false" customHeight="false" outlineLevel="0" collapsed="false">
      <c r="A22" s="1" t="n">
        <v>20</v>
      </c>
      <c r="B22" s="1" t="n">
        <f aca="false">2^A22</f>
        <v>1048576</v>
      </c>
    </row>
    <row r="23" customFormat="false" ht="15" hidden="false" customHeight="false" outlineLevel="0" collapsed="false">
      <c r="A23" s="1" t="n">
        <v>21</v>
      </c>
      <c r="B23" s="1" t="n">
        <f aca="false">2^A23</f>
        <v>2097152</v>
      </c>
    </row>
    <row r="24" customFormat="false" ht="15" hidden="false" customHeight="false" outlineLevel="0" collapsed="false">
      <c r="A24" s="1" t="n">
        <v>22</v>
      </c>
      <c r="B24" s="1" t="n">
        <f aca="false">2^A24</f>
        <v>4194304</v>
      </c>
    </row>
    <row r="25" customFormat="false" ht="15" hidden="false" customHeight="false" outlineLevel="0" collapsed="false">
      <c r="A25" s="1" t="n">
        <v>23</v>
      </c>
      <c r="B25" s="1" t="n">
        <f aca="false">2^A25</f>
        <v>8388608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24.61"/>
    <col collapsed="false" customWidth="true" hidden="false" outlineLevel="0" max="2" min="2" style="0" width="12.42"/>
    <col collapsed="false" customWidth="true" hidden="false" outlineLevel="0" max="3" min="3" style="0" width="11.57"/>
  </cols>
  <sheetData>
    <row r="1" customFormat="false" ht="15" hidden="false" customHeight="false" outlineLevel="0" collapsed="false">
      <c r="A1" s="1" t="s">
        <v>0</v>
      </c>
      <c r="B1" s="1" t="s">
        <v>2</v>
      </c>
    </row>
    <row r="2" customFormat="false" ht="15" hidden="false" customHeight="false" outlineLevel="0" collapsed="false">
      <c r="A2" s="1" t="n">
        <v>0</v>
      </c>
      <c r="B2" s="1" t="n">
        <f aca="false">3^A2</f>
        <v>1</v>
      </c>
    </row>
    <row r="3" customFormat="false" ht="15" hidden="false" customHeight="false" outlineLevel="0" collapsed="false">
      <c r="A3" s="1" t="n">
        <v>1</v>
      </c>
      <c r="B3" s="1" t="n">
        <f aca="false">3^A3</f>
        <v>3</v>
      </c>
    </row>
    <row r="4" customFormat="false" ht="15" hidden="false" customHeight="false" outlineLevel="0" collapsed="false">
      <c r="A4" s="1" t="n">
        <v>2</v>
      </c>
      <c r="B4" s="1" t="n">
        <f aca="false">3^A4</f>
        <v>9</v>
      </c>
    </row>
    <row r="5" customFormat="false" ht="15" hidden="false" customHeight="false" outlineLevel="0" collapsed="false">
      <c r="A5" s="1" t="n">
        <v>3</v>
      </c>
      <c r="B5" s="1" t="n">
        <f aca="false">3^A5</f>
        <v>27</v>
      </c>
    </row>
    <row r="6" customFormat="false" ht="15" hidden="false" customHeight="false" outlineLevel="0" collapsed="false">
      <c r="A6" s="1" t="n">
        <v>4</v>
      </c>
      <c r="B6" s="1" t="n">
        <f aca="false">3^A6</f>
        <v>81</v>
      </c>
    </row>
    <row r="7" customFormat="false" ht="15" hidden="false" customHeight="false" outlineLevel="0" collapsed="false">
      <c r="A7" s="1" t="n">
        <v>5</v>
      </c>
      <c r="B7" s="1" t="n">
        <f aca="false">3^A7</f>
        <v>243</v>
      </c>
    </row>
    <row r="8" customFormat="false" ht="15" hidden="false" customHeight="false" outlineLevel="0" collapsed="false">
      <c r="A8" s="1" t="n">
        <v>6</v>
      </c>
      <c r="B8" s="1" t="n">
        <f aca="false">3^A8</f>
        <v>729</v>
      </c>
    </row>
    <row r="9" customFormat="false" ht="15" hidden="false" customHeight="false" outlineLevel="0" collapsed="false">
      <c r="A9" s="1" t="n">
        <v>7</v>
      </c>
      <c r="B9" s="1" t="n">
        <f aca="false">3^A9</f>
        <v>2187</v>
      </c>
    </row>
    <row r="10" customFormat="false" ht="15" hidden="false" customHeight="false" outlineLevel="0" collapsed="false">
      <c r="A10" s="1" t="n">
        <v>8</v>
      </c>
      <c r="B10" s="1" t="n">
        <f aca="false">3^A10</f>
        <v>6561</v>
      </c>
    </row>
    <row r="11" customFormat="false" ht="15" hidden="false" customHeight="false" outlineLevel="0" collapsed="false">
      <c r="A11" s="1" t="n">
        <v>9</v>
      </c>
      <c r="B11" s="1" t="n">
        <f aca="false">3^A11</f>
        <v>19683</v>
      </c>
    </row>
    <row r="12" customFormat="false" ht="15" hidden="false" customHeight="false" outlineLevel="0" collapsed="false">
      <c r="A12" s="1" t="n">
        <v>10</v>
      </c>
      <c r="B12" s="1" t="n">
        <f aca="false">3^A12</f>
        <v>59049</v>
      </c>
    </row>
    <row r="13" customFormat="false" ht="15" hidden="false" customHeight="false" outlineLevel="0" collapsed="false">
      <c r="A13" s="1" t="n">
        <v>11</v>
      </c>
      <c r="B13" s="1" t="n">
        <f aca="false">3^A13</f>
        <v>177147</v>
      </c>
    </row>
    <row r="14" customFormat="false" ht="15" hidden="false" customHeight="false" outlineLevel="0" collapsed="false">
      <c r="A14" s="1" t="n">
        <v>12</v>
      </c>
      <c r="B14" s="1" t="n">
        <f aca="false">3^A14</f>
        <v>531441</v>
      </c>
    </row>
    <row r="15" customFormat="false" ht="15" hidden="false" customHeight="false" outlineLevel="0" collapsed="false">
      <c r="A15" s="1" t="n">
        <v>13</v>
      </c>
      <c r="B15" s="1" t="n">
        <f aca="false">3^A15</f>
        <v>1594323</v>
      </c>
    </row>
    <row r="16" customFormat="false" ht="15" hidden="false" customHeight="false" outlineLevel="0" collapsed="false">
      <c r="A16" s="1" t="n">
        <v>14</v>
      </c>
      <c r="B16" s="1" t="n">
        <f aca="false">3^A16</f>
        <v>4782969</v>
      </c>
    </row>
    <row r="17" customFormat="false" ht="15" hidden="false" customHeight="false" outlineLevel="0" collapsed="false">
      <c r="A17" s="1" t="n">
        <v>15</v>
      </c>
      <c r="B17" s="1" t="n">
        <f aca="false">3^A17</f>
        <v>14348907</v>
      </c>
    </row>
    <row r="18" customFormat="false" ht="15" hidden="false" customHeight="false" outlineLevel="0" collapsed="false">
      <c r="A18" s="1" t="n">
        <v>16</v>
      </c>
      <c r="B18" s="1" t="n">
        <f aca="false">3^A18</f>
        <v>43046721</v>
      </c>
    </row>
    <row r="19" customFormat="false" ht="15" hidden="false" customHeight="false" outlineLevel="0" collapsed="false">
      <c r="A19" s="1" t="n">
        <v>17</v>
      </c>
      <c r="B19" s="1" t="n">
        <f aca="false">3^A19</f>
        <v>129140163</v>
      </c>
    </row>
    <row r="20" customFormat="false" ht="15" hidden="false" customHeight="false" outlineLevel="0" collapsed="false">
      <c r="A20" s="1" t="n">
        <v>18</v>
      </c>
      <c r="B20" s="1" t="n">
        <f aca="false">3^A20</f>
        <v>387420489</v>
      </c>
    </row>
    <row r="21" customFormat="false" ht="15" hidden="false" customHeight="false" outlineLevel="0" collapsed="false">
      <c r="A21" s="1" t="n">
        <v>19</v>
      </c>
      <c r="B21" s="1" t="n">
        <f aca="false">3^A21</f>
        <v>1162261467</v>
      </c>
    </row>
    <row r="22" customFormat="false" ht="15" hidden="false" customHeight="false" outlineLevel="0" collapsed="false">
      <c r="A22" s="1" t="n">
        <v>20</v>
      </c>
      <c r="B22" s="1" t="n">
        <f aca="false">3^A22</f>
        <v>3486784401</v>
      </c>
    </row>
    <row r="23" customFormat="false" ht="15" hidden="false" customHeight="false" outlineLevel="0" collapsed="false">
      <c r="A23" s="1" t="n">
        <v>21</v>
      </c>
      <c r="B23" s="1" t="n">
        <f aca="false">3^A23</f>
        <v>10460353203</v>
      </c>
    </row>
    <row r="24" customFormat="false" ht="15" hidden="false" customHeight="false" outlineLevel="0" collapsed="false">
      <c r="A24" s="1" t="n">
        <v>22</v>
      </c>
      <c r="B24" s="1" t="n">
        <f aca="false">3^A24</f>
        <v>31381059609</v>
      </c>
    </row>
    <row r="25" customFormat="false" ht="15" hidden="false" customHeight="false" outlineLevel="0" collapsed="false">
      <c r="A25" s="1" t="n">
        <v>23</v>
      </c>
      <c r="B25" s="1" t="n">
        <f aca="false">3^A25</f>
        <v>94143178827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25.14"/>
    <col collapsed="false" customWidth="true" hidden="false" outlineLevel="0" max="2" min="2" style="0" width="12.37"/>
    <col collapsed="false" customWidth="true" hidden="false" outlineLevel="0" max="3" min="3" style="0" width="12.24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</row>
    <row r="2" customFormat="false" ht="15" hidden="false" customHeight="false" outlineLevel="0" collapsed="false">
      <c r="A2" s="1" t="n">
        <v>0</v>
      </c>
      <c r="B2" s="1" t="n">
        <f aca="false">VLOOKUP(A2, Лист1!$A$2:$B$25, 2, 0)</f>
        <v>1</v>
      </c>
      <c r="C2" s="1" t="n">
        <f aca="false">VLOOKUP(A2, Лист2!$A$2:$C$25, 2, 0)</f>
        <v>1</v>
      </c>
      <c r="E2" s="1"/>
    </row>
    <row r="3" customFormat="false" ht="15" hidden="false" customHeight="false" outlineLevel="0" collapsed="false">
      <c r="A3" s="1" t="n">
        <v>1</v>
      </c>
      <c r="B3" s="1" t="n">
        <f aca="false">VLOOKUP(A3, Лист1!$A$2:$B$25, 2, 0)</f>
        <v>2</v>
      </c>
      <c r="C3" s="1" t="n">
        <f aca="false">VLOOKUP(A3, Лист2!$A$2:$C$25, 2, 0)</f>
        <v>3</v>
      </c>
    </row>
    <row r="4" customFormat="false" ht="15" hidden="false" customHeight="false" outlineLevel="0" collapsed="false">
      <c r="A4" s="1" t="n">
        <v>2</v>
      </c>
      <c r="B4" s="1" t="n">
        <f aca="false">VLOOKUP(A4, Лист1!$A$2:$B$25, 2, 0)</f>
        <v>4</v>
      </c>
      <c r="C4" s="1" t="n">
        <f aca="false">VLOOKUP(A4, Лист2!$A$2:$C$25, 2, 0)</f>
        <v>9</v>
      </c>
    </row>
    <row r="5" customFormat="false" ht="15" hidden="false" customHeight="false" outlineLevel="0" collapsed="false">
      <c r="A5" s="1" t="n">
        <v>3</v>
      </c>
      <c r="B5" s="1" t="n">
        <f aca="false">VLOOKUP(A5, Лист1!$A$2:$B$25, 2, 0)</f>
        <v>8</v>
      </c>
      <c r="C5" s="1" t="n">
        <f aca="false">VLOOKUP(A5, Лист2!$A$2:$C$25, 2, 0)</f>
        <v>27</v>
      </c>
    </row>
    <row r="6" customFormat="false" ht="15" hidden="false" customHeight="false" outlineLevel="0" collapsed="false">
      <c r="A6" s="1" t="n">
        <v>4</v>
      </c>
      <c r="B6" s="1" t="n">
        <f aca="false">VLOOKUP(A6, Лист1!$A$2:$B$25, 2, 0)</f>
        <v>16</v>
      </c>
      <c r="C6" s="1" t="n">
        <f aca="false">VLOOKUP(A6, Лист2!$A$2:$C$25, 2, 0)</f>
        <v>81</v>
      </c>
    </row>
    <row r="7" customFormat="false" ht="15" hidden="false" customHeight="false" outlineLevel="0" collapsed="false">
      <c r="A7" s="1" t="n">
        <v>5</v>
      </c>
      <c r="B7" s="1" t="n">
        <f aca="false">VLOOKUP(A7, Лист1!$A$2:$B$25, 2, 0)</f>
        <v>32</v>
      </c>
      <c r="C7" s="1" t="n">
        <f aca="false">VLOOKUP(A7, Лист2!$A$2:$C$25, 2, 0)</f>
        <v>243</v>
      </c>
    </row>
    <row r="8" customFormat="false" ht="15" hidden="false" customHeight="false" outlineLevel="0" collapsed="false">
      <c r="A8" s="1" t="n">
        <v>6</v>
      </c>
      <c r="B8" s="1" t="n">
        <f aca="false">VLOOKUP(A8, Лист1!$A$2:$B$25, 2, 0)</f>
        <v>64</v>
      </c>
      <c r="C8" s="1" t="n">
        <f aca="false">VLOOKUP(A8, Лист2!$A$2:$C$25, 2, 0)</f>
        <v>729</v>
      </c>
    </row>
    <row r="9" customFormat="false" ht="15" hidden="false" customHeight="false" outlineLevel="0" collapsed="false">
      <c r="A9" s="1" t="n">
        <v>7</v>
      </c>
      <c r="B9" s="1" t="n">
        <f aca="false">VLOOKUP(A9, Лист1!$A$2:$B$25, 2, 0)</f>
        <v>128</v>
      </c>
      <c r="C9" s="1" t="n">
        <f aca="false">VLOOKUP(A9, Лист2!$A$2:$C$25, 2, 0)</f>
        <v>2187</v>
      </c>
    </row>
    <row r="10" customFormat="false" ht="15" hidden="false" customHeight="false" outlineLevel="0" collapsed="false">
      <c r="A10" s="1" t="n">
        <v>8</v>
      </c>
      <c r="B10" s="1" t="n">
        <f aca="false">VLOOKUP(A10, Лист1!$A$2:$B$25, 2, 0)</f>
        <v>256</v>
      </c>
      <c r="C10" s="1" t="n">
        <f aca="false">VLOOKUP(A10, Лист2!$A$2:$C$25, 2, 0)</f>
        <v>6561</v>
      </c>
    </row>
    <row r="11" customFormat="false" ht="15" hidden="false" customHeight="false" outlineLevel="0" collapsed="false">
      <c r="A11" s="1" t="n">
        <v>9</v>
      </c>
      <c r="B11" s="1" t="n">
        <f aca="false">VLOOKUP(A11, Лист1!$A$2:$B$25, 2, 0)</f>
        <v>512</v>
      </c>
      <c r="C11" s="1" t="n">
        <f aca="false">VLOOKUP(A11, Лист2!$A$2:$C$25, 2, 0)</f>
        <v>19683</v>
      </c>
    </row>
    <row r="12" customFormat="false" ht="15" hidden="false" customHeight="false" outlineLevel="0" collapsed="false">
      <c r="A12" s="1" t="n">
        <v>10</v>
      </c>
      <c r="B12" s="1" t="n">
        <f aca="false">VLOOKUP(A12, Лист1!$A$2:$B$25, 2, 0)</f>
        <v>1024</v>
      </c>
      <c r="C12" s="1" t="n">
        <f aca="false">VLOOKUP(A12, Лист2!$A$2:$C$25, 2, 0)</f>
        <v>59049</v>
      </c>
    </row>
    <row r="13" customFormat="false" ht="15" hidden="false" customHeight="false" outlineLevel="0" collapsed="false">
      <c r="A13" s="1" t="n">
        <v>11</v>
      </c>
      <c r="B13" s="1" t="n">
        <f aca="false">VLOOKUP(A13, Лист1!$A$2:$B$25, 2, 0)</f>
        <v>8192</v>
      </c>
      <c r="C13" s="1" t="n">
        <f aca="false">VLOOKUP(A13, Лист2!$A$2:$C$25, 2, 0)</f>
        <v>177147</v>
      </c>
    </row>
    <row r="14" customFormat="false" ht="15" hidden="false" customHeight="false" outlineLevel="0" collapsed="false">
      <c r="A14" s="1" t="n">
        <v>12</v>
      </c>
      <c r="B14" s="1" t="n">
        <f aca="false">VLOOKUP(A14, Лист1!$A$2:$B$25, 2, 0)</f>
        <v>4096</v>
      </c>
      <c r="C14" s="1" t="n">
        <f aca="false">VLOOKUP(A14, Лист2!$A$2:$C$25, 2, 0)</f>
        <v>531441</v>
      </c>
    </row>
    <row r="15" customFormat="false" ht="15" hidden="false" customHeight="false" outlineLevel="0" collapsed="false">
      <c r="A15" s="1" t="n">
        <v>13</v>
      </c>
      <c r="B15" s="1" t="n">
        <f aca="false">VLOOKUP(A15, Лист1!$A$2:$B$25, 2, 0)</f>
        <v>8192</v>
      </c>
      <c r="C15" s="1" t="n">
        <f aca="false">VLOOKUP(A15, Лист2!$A$2:$C$25, 2, 0)</f>
        <v>1594323</v>
      </c>
    </row>
    <row r="16" customFormat="false" ht="15" hidden="false" customHeight="false" outlineLevel="0" collapsed="false">
      <c r="A16" s="1" t="n">
        <v>14</v>
      </c>
      <c r="B16" s="1" t="n">
        <f aca="false">VLOOKUP(A16, Лист1!$A$2:$B$25, 2, 0)</f>
        <v>16384</v>
      </c>
      <c r="C16" s="1" t="n">
        <f aca="false">VLOOKUP(A16, Лист2!$A$2:$C$25, 2, 0)</f>
        <v>4782969</v>
      </c>
    </row>
    <row r="17" customFormat="false" ht="15" hidden="false" customHeight="false" outlineLevel="0" collapsed="false">
      <c r="A17" s="1" t="n">
        <v>15</v>
      </c>
      <c r="B17" s="1" t="n">
        <f aca="false">VLOOKUP(A17, Лист1!$A$2:$B$25, 2, 0)</f>
        <v>32768</v>
      </c>
      <c r="C17" s="1" t="n">
        <f aca="false">VLOOKUP(A17, Лист2!$A$2:$C$25, 2, 0)</f>
        <v>14348907</v>
      </c>
    </row>
    <row r="18" customFormat="false" ht="15" hidden="false" customHeight="false" outlineLevel="0" collapsed="false">
      <c r="A18" s="1" t="n">
        <v>16</v>
      </c>
      <c r="B18" s="1" t="n">
        <f aca="false">VLOOKUP(A18, Лист1!$A$2:$B$25, 2, 0)</f>
        <v>65536</v>
      </c>
      <c r="C18" s="1" t="n">
        <f aca="false">VLOOKUP(A18, Лист2!$A$2:$C$25, 2, 0)</f>
        <v>43046721</v>
      </c>
    </row>
    <row r="19" customFormat="false" ht="15" hidden="false" customHeight="false" outlineLevel="0" collapsed="false">
      <c r="A19" s="1" t="n">
        <v>17</v>
      </c>
      <c r="B19" s="1" t="n">
        <f aca="false">VLOOKUP(A19, Лист1!$A$2:$B$25, 2, 0)</f>
        <v>131072</v>
      </c>
      <c r="C19" s="1" t="n">
        <f aca="false">VLOOKUP(A19, Лист2!$A$2:$C$25, 2, 0)</f>
        <v>129140163</v>
      </c>
    </row>
    <row r="20" customFormat="false" ht="15" hidden="false" customHeight="false" outlineLevel="0" collapsed="false">
      <c r="A20" s="1" t="n">
        <v>18</v>
      </c>
      <c r="B20" s="1" t="n">
        <f aca="false">VLOOKUP(A20, Лист1!$A$2:$B$25, 2, 0)</f>
        <v>262144</v>
      </c>
      <c r="C20" s="1" t="n">
        <f aca="false">VLOOKUP(A20, Лист2!$A$2:$C$25, 2, 0)</f>
        <v>387420489</v>
      </c>
    </row>
    <row r="21" customFormat="false" ht="15" hidden="false" customHeight="false" outlineLevel="0" collapsed="false">
      <c r="A21" s="1" t="n">
        <v>19</v>
      </c>
      <c r="B21" s="1" t="n">
        <f aca="false">VLOOKUP(A21, Лист1!$A$2:$B$25, 2, 0)</f>
        <v>524288</v>
      </c>
      <c r="C21" s="1" t="n">
        <f aca="false">VLOOKUP(A21, Лист2!$A$2:$C$25, 2, 0)</f>
        <v>1162261467</v>
      </c>
    </row>
    <row r="22" customFormat="false" ht="15" hidden="false" customHeight="false" outlineLevel="0" collapsed="false">
      <c r="A22" s="1" t="n">
        <v>20</v>
      </c>
      <c r="B22" s="1" t="n">
        <f aca="false">VLOOKUP(A22, Лист1!$A$2:$B$25, 2, 0)</f>
        <v>1048576</v>
      </c>
      <c r="C22" s="1" t="n">
        <f aca="false">VLOOKUP(A22, Лист2!$A$2:$C$25, 2, 0)</f>
        <v>3486784401</v>
      </c>
    </row>
    <row r="23" customFormat="false" ht="15" hidden="false" customHeight="false" outlineLevel="0" collapsed="false">
      <c r="A23" s="1" t="n">
        <v>21</v>
      </c>
      <c r="B23" s="1" t="n">
        <f aca="false">VLOOKUP(A23, Лист1!$A$2:$B$25, 2, 0)</f>
        <v>2097152</v>
      </c>
      <c r="C23" s="1" t="n">
        <f aca="false">VLOOKUP(A23, Лист2!$A$2:$C$25, 2, 0)</f>
        <v>10460353203</v>
      </c>
    </row>
    <row r="24" customFormat="false" ht="15" hidden="false" customHeight="false" outlineLevel="0" collapsed="false">
      <c r="A24" s="1" t="n">
        <v>22</v>
      </c>
      <c r="B24" s="1" t="n">
        <f aca="false">VLOOKUP(A24, Лист1!$A$2:$B$25, 2, 0)</f>
        <v>4194304</v>
      </c>
      <c r="C24" s="1" t="n">
        <f aca="false">VLOOKUP(A24, Лист2!$A$2:$C$25, 2, 0)</f>
        <v>31381059609</v>
      </c>
    </row>
    <row r="25" customFormat="false" ht="15" hidden="false" customHeight="false" outlineLevel="0" collapsed="false">
      <c r="A25" s="1" t="n">
        <v>23</v>
      </c>
      <c r="B25" s="1" t="n">
        <f aca="false">VLOOKUP(A25, Лист1!$A$2:$B$25, 2, 0)</f>
        <v>8388608</v>
      </c>
      <c r="C25" s="1" t="n">
        <f aca="false">VLOOKUP(A25, Лист2!$A$2:$C$25, 2, 0)</f>
        <v>94143178827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22.89"/>
    <col collapsed="false" customWidth="true" hidden="false" outlineLevel="0" max="2" min="2" style="0" width="13.17"/>
    <col collapsed="false" customWidth="true" hidden="false" outlineLevel="0" max="3" min="3" style="0" width="12.77"/>
    <col collapsed="false" customWidth="true" hidden="false" outlineLevel="0" max="4" min="4" style="0" width="13.83"/>
  </cols>
  <sheetData>
    <row r="1" customFormat="false" ht="15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</row>
    <row r="2" customFormat="false" ht="15" hidden="false" customHeight="false" outlineLevel="0" collapsed="false">
      <c r="A2" s="1" t="s">
        <v>8</v>
      </c>
      <c r="B2" s="1" t="n">
        <f aca="false">AVERAGE(Лист3!A2:A25)</f>
        <v>11.5</v>
      </c>
      <c r="C2" s="1" t="n">
        <f aca="false">AVERAGE(Лист3!B2:B25)</f>
        <v>699306.625</v>
      </c>
      <c r="D2" s="1" t="n">
        <f aca="false">AVERAGE(Лист3!C2:C25)</f>
        <v>5883948676.66667</v>
      </c>
    </row>
    <row r="3" customFormat="false" ht="15" hidden="false" customHeight="false" outlineLevel="0" collapsed="false">
      <c r="A3" s="1" t="s">
        <v>9</v>
      </c>
      <c r="B3" s="1" t="n">
        <f aca="false">AVERAGE(Лист3!A3:A26)</f>
        <v>12</v>
      </c>
      <c r="C3" s="1" t="n">
        <f aca="false">AVERAGE(Лист3!B3:B26)</f>
        <v>729711.217391304</v>
      </c>
      <c r="D3" s="1" t="n">
        <f aca="false">AVERAGE(Лист3!C3:C26)</f>
        <v>6139772532.13044</v>
      </c>
    </row>
    <row r="4" customFormat="false" ht="15" hidden="false" customHeight="false" outlineLevel="0" collapsed="false">
      <c r="A4" s="1" t="s">
        <v>10</v>
      </c>
      <c r="B4" s="1" t="n">
        <f aca="false">AVERAGE(Лист3!A4:A27)</f>
        <v>12.5</v>
      </c>
      <c r="C4" s="1" t="n">
        <f aca="false">AVERAGE(Лист3!B4:B27)</f>
        <v>762879.818181818</v>
      </c>
      <c r="D4" s="1" t="n">
        <f aca="false">AVERAGE(Лист3!C4:C27)</f>
        <v>6418853101.63636</v>
      </c>
    </row>
    <row r="5" customFormat="false" ht="15" hidden="false" customHeight="false" outlineLevel="0" collapsed="false">
      <c r="A5" s="1" t="s">
        <v>11</v>
      </c>
      <c r="B5" s="1" t="n">
        <f aca="false">AVERAGE(Лист3!A5:A28)</f>
        <v>13</v>
      </c>
      <c r="C5" s="1" t="n">
        <f aca="false">AVERAGE(Лист3!B5:B28)</f>
        <v>799207.238095238</v>
      </c>
      <c r="D5" s="1" t="n">
        <f aca="false">AVERAGE(Лист3!C5:C28)</f>
        <v>6724512772.71429</v>
      </c>
    </row>
    <row r="6" customFormat="false" ht="15" hidden="false" customHeight="false" outlineLevel="0" collapsed="false">
      <c r="A6" s="1" t="s">
        <v>12</v>
      </c>
      <c r="B6" s="1" t="n">
        <f aca="false">AVERAGE(Лист3!A6:A29)</f>
        <v>13.5</v>
      </c>
      <c r="C6" s="1" t="n">
        <f aca="false">AVERAGE(Лист3!B6:B29)</f>
        <v>839167.2</v>
      </c>
      <c r="D6" s="1" t="n">
        <f aca="false">AVERAGE(Лист3!C6:C29)</f>
        <v>7060738410</v>
      </c>
    </row>
    <row r="7" customFormat="false" ht="15" hidden="false" customHeight="false" outlineLevel="0" collapsed="false">
      <c r="A7" s="1" t="s">
        <v>13</v>
      </c>
      <c r="B7" s="1" t="n">
        <f aca="false">AVERAGE(Лист3!A7:A30)</f>
        <v>14</v>
      </c>
      <c r="C7" s="1" t="n">
        <f aca="false">AVERAGE(Лист3!B7:B30)</f>
        <v>883333.052631579</v>
      </c>
      <c r="D7" s="1" t="n">
        <f aca="false">AVERAGE(Лист3!C7:C30)</f>
        <v>7432356216.78947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  <c r="G1" s="1" t="n">
        <v>2026</v>
      </c>
      <c r="H1" s="1" t="n">
        <v>2027</v>
      </c>
    </row>
    <row r="2" customFormat="false" ht="15" hidden="false" customHeight="false" outlineLevel="0" collapsed="false">
      <c r="A2" s="1" t="s">
        <v>14</v>
      </c>
      <c r="B2" s="1" t="n">
        <v>1510000</v>
      </c>
      <c r="C2" s="1" t="n">
        <v>2236476</v>
      </c>
      <c r="D2" s="1" t="n">
        <v>1934765</v>
      </c>
      <c r="E2" s="1" t="n">
        <v>4543534</v>
      </c>
      <c r="F2" s="1" t="n">
        <v>2348887</v>
      </c>
      <c r="G2" s="1" t="n">
        <v>1170004</v>
      </c>
      <c r="H2" s="1" t="n">
        <v>2344598</v>
      </c>
    </row>
    <row r="3" customFormat="false" ht="15" hidden="false" customHeight="false" outlineLevel="0" collapsed="false">
      <c r="A3" s="1" t="s">
        <v>15</v>
      </c>
      <c r="B3" s="1" t="n">
        <v>237800</v>
      </c>
      <c r="C3" s="1" t="n">
        <v>732647</v>
      </c>
      <c r="D3" s="1" t="n">
        <v>567672</v>
      </c>
      <c r="E3" s="1" t="n">
        <v>234234</v>
      </c>
      <c r="F3" s="1" t="n">
        <v>323217</v>
      </c>
      <c r="G3" s="1" t="n">
        <v>634423</v>
      </c>
      <c r="H3" s="1" t="n">
        <v>235455</v>
      </c>
    </row>
    <row r="4" customFormat="false" ht="15" hidden="false" customHeight="false" outlineLevel="0" collapsed="false">
      <c r="A4" s="1" t="s">
        <v>16</v>
      </c>
      <c r="B4" s="1" t="n">
        <v>3211400</v>
      </c>
      <c r="C4" s="1" t="n">
        <v>4873837</v>
      </c>
      <c r="D4" s="1" t="n">
        <v>3653654</v>
      </c>
      <c r="E4" s="1" t="n">
        <v>3453453</v>
      </c>
      <c r="F4" s="1" t="n">
        <v>5435323</v>
      </c>
      <c r="G4" s="1" t="n">
        <v>4586959</v>
      </c>
      <c r="H4" s="1" t="n">
        <v>8576885</v>
      </c>
    </row>
    <row r="5" customFormat="false" ht="15" hidden="false" customHeight="false" outlineLevel="0" collapsed="false">
      <c r="A5" s="1" t="s">
        <v>17</v>
      </c>
      <c r="B5" s="1" t="n">
        <v>4961201</v>
      </c>
      <c r="C5" s="1" t="n">
        <v>7844962</v>
      </c>
      <c r="D5" s="1" t="n">
        <v>6159094</v>
      </c>
      <c r="E5" s="1" t="n">
        <v>8233225</v>
      </c>
      <c r="F5" s="1" t="n">
        <v>8109432</v>
      </c>
      <c r="G5" s="1" t="n">
        <v>6393392</v>
      </c>
      <c r="H5" s="1" t="n">
        <v>11158945</v>
      </c>
    </row>
    <row r="33" customFormat="false" ht="15" hidden="false" customHeight="false" outlineLevel="0" collapsed="false">
      <c r="L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2026-05-21T10:00:03Z</dcterms:created>
  <dc:creator/>
  <dc:description/>
  <dc:language>ru-RU</dc:language>
  <cp:lastModifiedBy/>
  <dcterms:modified xsi:type="dcterms:W3CDTF">2026-05-21T13:45:11Z</dcterms:modified>
  <cp:revision>1</cp:revision>
  <dc:subject/>
  <dc:title/>
</cp:coreProperties>
</file>